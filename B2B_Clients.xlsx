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<sst xmlns="http://schemas.openxmlformats.org/spreadsheetml/2006/main" uniqueCount="91">
  <si>
    <t>Table 1</t>
  </si>
  <si>
    <t>Phase I</t>
  </si>
  <si>
    <t>Phase III</t>
  </si>
  <si>
    <t>Opportunity</t>
  </si>
  <si>
    <t>Priority</t>
  </si>
  <si>
    <t>Use case</t>
  </si>
  <si>
    <t>Outreach</t>
  </si>
  <si>
    <t>Stage</t>
  </si>
  <si>
    <t>Industry</t>
  </si>
  <si>
    <t>Monthly Revenue (INR)</t>
  </si>
  <si>
    <t>Estimated Number of Cars Requiredd</t>
  </si>
  <si>
    <t>Timelines - Launch</t>
  </si>
  <si>
    <t>Monthly Revenue (INR) Projections</t>
  </si>
  <si>
    <t>Estimated Number of Cars Required</t>
  </si>
  <si>
    <t>AON</t>
  </si>
  <si>
    <t>P0</t>
  </si>
  <si>
    <t>ETS per TRIP</t>
  </si>
  <si>
    <t>Yes</t>
  </si>
  <si>
    <t>Evera Wins</t>
  </si>
  <si>
    <t>Tech</t>
  </si>
  <si>
    <t>Live</t>
  </si>
  <si>
    <t>AON Phase II</t>
  </si>
  <si>
    <t>P1</t>
  </si>
  <si>
    <t>Airport, ETS per TRIP</t>
  </si>
  <si>
    <t>Cross-sell/Upsell Existing</t>
  </si>
  <si>
    <t>Q2 - Q3</t>
  </si>
  <si>
    <t>Tech Mahindra</t>
  </si>
  <si>
    <t>ETS per TRIP, Airport</t>
  </si>
  <si>
    <t>Zelstra</t>
  </si>
  <si>
    <t>Proposal</t>
  </si>
  <si>
    <t>Rapido</t>
  </si>
  <si>
    <t>Airport, P2P</t>
  </si>
  <si>
    <t>Kohler</t>
  </si>
  <si>
    <t>Hourly Rental, Airport</t>
  </si>
  <si>
    <t>Need Assessment</t>
  </si>
  <si>
    <t>ORIX</t>
  </si>
  <si>
    <t>Airport, Hourly Rental</t>
  </si>
  <si>
    <t xml:space="preserve">Contract Signing </t>
  </si>
  <si>
    <t>Logistics</t>
  </si>
  <si>
    <t>N15</t>
  </si>
  <si>
    <t>PVR INOX</t>
  </si>
  <si>
    <t>Discovery</t>
  </si>
  <si>
    <t>Delhivery Ltd</t>
  </si>
  <si>
    <t xml:space="preserve">Encalm Lounge </t>
  </si>
  <si>
    <t>Airport</t>
  </si>
  <si>
    <t>Sterlite</t>
  </si>
  <si>
    <t>Verbal Ok | Negotiation</t>
  </si>
  <si>
    <t>Manufacturing</t>
  </si>
  <si>
    <t>Capgemini</t>
  </si>
  <si>
    <t>DSCI | NASSCOM</t>
  </si>
  <si>
    <t>PSU</t>
  </si>
  <si>
    <t>HOI App</t>
  </si>
  <si>
    <t>Medanta</t>
  </si>
  <si>
    <t>Hourly Rental, Airport, P2P</t>
  </si>
  <si>
    <t>Healthcare</t>
  </si>
  <si>
    <t>N45</t>
  </si>
  <si>
    <t>Quest To Travel</t>
  </si>
  <si>
    <t>Pristyn Care</t>
  </si>
  <si>
    <t>P2P</t>
  </si>
  <si>
    <t>N60</t>
  </si>
  <si>
    <t>KPMG</t>
  </si>
  <si>
    <t>Beumer</t>
  </si>
  <si>
    <t>Indian Navy</t>
  </si>
  <si>
    <t>ETS - Fixed</t>
  </si>
  <si>
    <t xml:space="preserve">Prasar Bharti </t>
  </si>
  <si>
    <t>Ericsson</t>
  </si>
  <si>
    <t>Royal Green Realty</t>
  </si>
  <si>
    <t>Real Estate</t>
  </si>
  <si>
    <t>DMRC Phase II</t>
  </si>
  <si>
    <t>Jakson Group</t>
  </si>
  <si>
    <t>N30</t>
  </si>
  <si>
    <t>Ashoka University</t>
  </si>
  <si>
    <t>DMRC</t>
  </si>
  <si>
    <t>ETS - Fixed, Hourly Rental</t>
  </si>
  <si>
    <t>Grant Thornton</t>
  </si>
  <si>
    <t>Airtel</t>
  </si>
  <si>
    <t>Hourly Rental</t>
  </si>
  <si>
    <t>Telecom</t>
  </si>
  <si>
    <t>Hero MotoCorp</t>
  </si>
  <si>
    <t>MIDLAND CREDIT</t>
  </si>
  <si>
    <t>BFSI</t>
  </si>
  <si>
    <t>Government e Marketplace</t>
  </si>
  <si>
    <t>P2P, Hourly Rental, Airport</t>
  </si>
  <si>
    <t xml:space="preserve">Impetus </t>
  </si>
  <si>
    <t>Palo Alto Networks</t>
  </si>
  <si>
    <t>Indus Towers</t>
  </si>
  <si>
    <t>Partner Integrations</t>
  </si>
  <si>
    <t>Tata Communications</t>
  </si>
  <si>
    <t>Bureau Veritas</t>
  </si>
  <si>
    <t>Defsys</t>
  </si>
  <si>
    <t>Sopra Steria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</si>
</sst>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;(#,##0)"/>
  </numFmts>
  <fonts count="10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9"/>
      <color indexed="8"/>
      <name val="Arial"/>
    </font>
    <font>
      <b val="1"/>
      <sz val="10"/>
      <color indexed="13"/>
      <name val="Montserrat"/>
    </font>
    <font>
      <b val="1"/>
      <sz val="9"/>
      <color indexed="8"/>
      <name val="Montserrat"/>
    </font>
    <font>
      <sz val="9"/>
      <color indexed="8"/>
      <name val="Montserrat"/>
    </font>
    <font>
      <b val="1"/>
      <sz val="9"/>
      <color indexed="16"/>
      <name val="Montserrat"/>
    </font>
    <font>
      <b val="1"/>
      <sz val="9"/>
      <color indexed="13"/>
      <name val="Montserrat"/>
    </font>
    <font>
      <b val="1"/>
      <sz val="12"/>
      <color indexed="8"/>
      <name val="Arial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6"/>
        <bgColor auto="1"/>
      </patternFill>
    </fill>
  </fills>
  <borders count="3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 style="thin">
        <color indexed="14"/>
      </bottom>
      <diagonal/>
    </border>
    <border>
      <left/>
      <right style="thin">
        <color indexed="10"/>
      </right>
      <top style="thin">
        <color indexed="10"/>
      </top>
      <bottom style="thin">
        <color indexed="1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4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4"/>
      </right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8"/>
      </bottom>
      <diagonal/>
    </border>
    <border>
      <left style="thin">
        <color indexed="10"/>
      </left>
      <right style="thin">
        <color indexed="14"/>
      </right>
      <top/>
      <bottom style="thin">
        <color indexed="10"/>
      </bottom>
      <diagonal/>
    </border>
    <border>
      <left style="thin">
        <color indexed="14"/>
      </left>
      <right style="thin">
        <color indexed="8"/>
      </right>
      <top style="thin">
        <color indexed="14"/>
      </top>
      <bottom style="thin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 style="thin">
        <color indexed="14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 style="thin">
        <color indexed="8"/>
      </right>
      <top style="thin">
        <color indexed="14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14"/>
      </bottom>
      <diagonal/>
    </border>
    <border>
      <left style="thin">
        <color indexed="8"/>
      </left>
      <right style="thin">
        <color indexed="14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8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0"/>
      </top>
      <bottom style="thin">
        <color indexed="14"/>
      </bottom>
      <diagonal/>
    </border>
    <border>
      <left style="thin">
        <color indexed="14"/>
      </left>
      <right style="thin">
        <color indexed="8"/>
      </right>
      <top style="thin">
        <color indexed="8"/>
      </top>
      <bottom style="thin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4"/>
      </top>
      <bottom/>
      <diagonal/>
    </border>
    <border>
      <left style="thin">
        <color indexed="10"/>
      </left>
      <right style="thin">
        <color indexed="10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4"/>
      </top>
      <bottom style="thin">
        <color indexed="10"/>
      </bottom>
      <diagonal/>
    </border>
    <border>
      <left style="thin">
        <color indexed="10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3" fillId="3" borderId="2" applyNumberFormat="0" applyFont="1" applyFill="1" applyBorder="1" applyAlignment="1" applyProtection="0">
      <alignment vertical="top" wrapText="1"/>
    </xf>
    <xf numFmtId="0" fontId="3" borderId="3" applyNumberFormat="0" applyFont="1" applyFill="0" applyBorder="1" applyAlignment="1" applyProtection="0">
      <alignment vertical="top" wrapText="1"/>
    </xf>
    <xf numFmtId="0" fontId="3" borderId="4" applyNumberFormat="0" applyFont="1" applyFill="0" applyBorder="1" applyAlignment="1" applyProtection="0">
      <alignment vertical="top" wrapText="1"/>
    </xf>
    <xf numFmtId="0" fontId="3" borderId="5" applyNumberFormat="0" applyFont="1" applyFill="0" applyBorder="1" applyAlignment="1" applyProtection="0">
      <alignment vertical="top" wrapText="1"/>
    </xf>
    <xf numFmtId="0" fontId="4" fillId="4" borderId="6" applyNumberFormat="0" applyFont="1" applyFill="1" applyBorder="1" applyAlignment="1" applyProtection="0">
      <alignment horizontal="center" vertical="center" wrapText="1"/>
    </xf>
    <xf numFmtId="49" fontId="4" fillId="4" borderId="7" applyNumberFormat="1" applyFont="1" applyFill="1" applyBorder="1" applyAlignment="1" applyProtection="0">
      <alignment horizontal="center" vertical="center" wrapText="1"/>
    </xf>
    <xf numFmtId="0" fontId="0" borderId="8" applyNumberFormat="0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0" fontId="3" borderId="10" applyNumberFormat="0" applyFont="1" applyFill="0" applyBorder="1" applyAlignment="1" applyProtection="0">
      <alignment vertical="top" wrapText="1"/>
    </xf>
    <xf numFmtId="0" fontId="5" fillId="5" borderId="11" applyNumberFormat="0" applyFont="1" applyFill="1" applyBorder="1" applyAlignment="1" applyProtection="0">
      <alignment horizontal="center" vertical="center" wrapText="1"/>
    </xf>
    <xf numFmtId="49" fontId="5" fillId="5" borderId="12" applyNumberFormat="1" applyFont="1" applyFill="1" applyBorder="1" applyAlignment="1" applyProtection="0">
      <alignment horizontal="center" vertical="center" wrapText="1"/>
    </xf>
    <xf numFmtId="0" fontId="3" borderId="13" applyNumberFormat="0" applyFont="1" applyFill="0" applyBorder="1" applyAlignment="1" applyProtection="0">
      <alignment vertical="top" wrapText="1"/>
    </xf>
    <xf numFmtId="49" fontId="5" fillId="5" borderId="14" applyNumberFormat="1" applyFont="1" applyFill="1" applyBorder="1" applyAlignment="1" applyProtection="0">
      <alignment horizontal="center" vertical="center" wrapText="1"/>
    </xf>
    <xf numFmtId="0" fontId="5" fillId="3" borderId="15" applyNumberFormat="0" applyFont="1" applyFill="1" applyBorder="1" applyAlignment="1" applyProtection="0">
      <alignment vertical="top" wrapText="1"/>
    </xf>
    <xf numFmtId="49" fontId="5" borderId="12" applyNumberFormat="1" applyFont="1" applyFill="0" applyBorder="1" applyAlignment="1" applyProtection="0">
      <alignment vertical="top" wrapText="1"/>
    </xf>
    <xf numFmtId="49" fontId="6" borderId="12" applyNumberFormat="1" applyFont="1" applyFill="0" applyBorder="1" applyAlignment="1" applyProtection="0">
      <alignment vertical="top" wrapText="1"/>
    </xf>
    <xf numFmtId="49" fontId="6" fillId="6" borderId="12" applyNumberFormat="1" applyFont="1" applyFill="1" applyBorder="1" applyAlignment="1" applyProtection="0">
      <alignment vertical="bottom" wrapText="1"/>
    </xf>
    <xf numFmtId="59" fontId="5" borderId="12" applyNumberFormat="1" applyFont="1" applyFill="0" applyBorder="1" applyAlignment="1" applyProtection="0">
      <alignment horizontal="center" vertical="top" wrapText="1"/>
    </xf>
    <xf numFmtId="0" fontId="6" borderId="12" applyNumberFormat="1" applyFont="1" applyFill="0" applyBorder="1" applyAlignment="1" applyProtection="0">
      <alignment horizontal="center" vertical="top" wrapText="1"/>
    </xf>
    <xf numFmtId="49" fontId="6" borderId="12" applyNumberFormat="1" applyFont="1" applyFill="0" applyBorder="1" applyAlignment="1" applyProtection="0">
      <alignment horizontal="center" vertical="top" wrapText="1"/>
    </xf>
    <xf numFmtId="49" fontId="5" borderId="12" applyNumberFormat="1" applyFont="1" applyFill="0" applyBorder="1" applyAlignment="1" applyProtection="0">
      <alignment horizontal="center" vertical="top" wrapText="1"/>
    </xf>
    <xf numFmtId="49" fontId="6" borderId="16" applyNumberFormat="1" applyFont="1" applyFill="0" applyBorder="1" applyAlignment="1" applyProtection="0">
      <alignment vertical="top" wrapText="1"/>
    </xf>
    <xf numFmtId="59" fontId="5" borderId="17" applyNumberFormat="1" applyFont="1" applyFill="0" applyBorder="1" applyAlignment="1" applyProtection="0">
      <alignment horizontal="center" vertical="top" wrapText="1"/>
    </xf>
    <xf numFmtId="0" fontId="5" borderId="17" applyNumberFormat="1" applyFont="1" applyFill="0" applyBorder="1" applyAlignment="1" applyProtection="0">
      <alignment horizontal="center" vertical="top" wrapText="1"/>
    </xf>
    <xf numFmtId="49" fontId="6" borderId="18" applyNumberFormat="1" applyFont="1" applyFill="0" applyBorder="1" applyAlignment="1" applyProtection="0">
      <alignment horizontal="center" vertical="top" wrapText="1"/>
    </xf>
    <xf numFmtId="0" fontId="5" fillId="3" borderId="19" applyNumberFormat="0" applyFont="1" applyFill="1" applyBorder="1" applyAlignment="1" applyProtection="0">
      <alignment vertical="top" wrapText="1"/>
    </xf>
    <xf numFmtId="49" fontId="6" fillId="6" borderId="14" applyNumberFormat="1" applyFont="1" applyFill="1" applyBorder="1" applyAlignment="1" applyProtection="0">
      <alignment vertical="bottom" wrapText="1"/>
    </xf>
    <xf numFmtId="49" fontId="6" borderId="14" applyNumberFormat="1" applyFont="1" applyFill="0" applyBorder="1" applyAlignment="1" applyProtection="0">
      <alignment vertical="top" wrapText="1"/>
    </xf>
    <xf numFmtId="59" fontId="5" borderId="14" applyNumberFormat="1" applyFont="1" applyFill="0" applyBorder="1" applyAlignment="1" applyProtection="0">
      <alignment horizontal="center" vertical="top" wrapText="1"/>
    </xf>
    <xf numFmtId="1" fontId="5" borderId="17" applyNumberFormat="1" applyFont="1" applyFill="0" applyBorder="1" applyAlignment="1" applyProtection="0">
      <alignment horizontal="center" vertical="top" wrapText="1"/>
    </xf>
    <xf numFmtId="49" fontId="6" fillId="6" borderId="17" applyNumberFormat="1" applyFont="1" applyFill="1" applyBorder="1" applyAlignment="1" applyProtection="0">
      <alignment vertical="bottom" wrapText="1"/>
    </xf>
    <xf numFmtId="0" fontId="6" borderId="17" applyNumberFormat="0" applyFont="1" applyFill="0" applyBorder="1" applyAlignment="1" applyProtection="0">
      <alignment vertical="top" wrapText="1"/>
    </xf>
    <xf numFmtId="49" fontId="6" borderId="17" applyNumberFormat="1" applyFont="1" applyFill="0" applyBorder="1" applyAlignment="1" applyProtection="0">
      <alignment vertical="top" wrapText="1"/>
    </xf>
    <xf numFmtId="0" fontId="6" borderId="18" applyNumberFormat="1" applyFont="1" applyFill="0" applyBorder="1" applyAlignment="1" applyProtection="0">
      <alignment horizontal="center" vertical="top" wrapText="1"/>
    </xf>
    <xf numFmtId="49" fontId="6" borderId="20" applyNumberFormat="1" applyFont="1" applyFill="0" applyBorder="1" applyAlignment="1" applyProtection="0">
      <alignment vertical="top" wrapText="1"/>
    </xf>
    <xf numFmtId="49" fontId="6" fillId="6" borderId="21" applyNumberFormat="1" applyFont="1" applyFill="1" applyBorder="1" applyAlignment="1" applyProtection="0">
      <alignment vertical="bottom" wrapText="1"/>
    </xf>
    <xf numFmtId="49" fontId="6" borderId="21" applyNumberFormat="1" applyFont="1" applyFill="0" applyBorder="1" applyAlignment="1" applyProtection="0">
      <alignment vertical="top" wrapText="1"/>
    </xf>
    <xf numFmtId="59" fontId="5" borderId="21" applyNumberFormat="1" applyFont="1" applyFill="0" applyBorder="1" applyAlignment="1" applyProtection="0">
      <alignment horizontal="center" vertical="top" wrapText="1"/>
    </xf>
    <xf numFmtId="1" fontId="6" borderId="12" applyNumberFormat="1" applyFont="1" applyFill="0" applyBorder="1" applyAlignment="1" applyProtection="0">
      <alignment horizontal="center" vertical="top" wrapText="1"/>
    </xf>
    <xf numFmtId="49" fontId="6" fillId="6" borderId="22" applyNumberFormat="1" applyFont="1" applyFill="1" applyBorder="1" applyAlignment="1" applyProtection="0">
      <alignment vertical="bottom" wrapText="1"/>
    </xf>
    <xf numFmtId="49" fontId="6" borderId="23" applyNumberFormat="1" applyFont="1" applyFill="0" applyBorder="1" applyAlignment="1" applyProtection="0">
      <alignment vertical="top" wrapText="1"/>
    </xf>
    <xf numFmtId="49" fontId="7" borderId="12" applyNumberFormat="1" applyFont="1" applyFill="0" applyBorder="1" applyAlignment="1" applyProtection="0">
      <alignment horizontal="center" vertical="top" wrapText="1"/>
    </xf>
    <xf numFmtId="49" fontId="6" borderId="24" applyNumberFormat="1" applyFont="1" applyFill="0" applyBorder="1" applyAlignment="1" applyProtection="0">
      <alignment vertical="top" wrapText="1"/>
    </xf>
    <xf numFmtId="49" fontId="6" borderId="25" applyNumberFormat="1" applyFont="1" applyFill="0" applyBorder="1" applyAlignment="1" applyProtection="0">
      <alignment vertical="top" wrapText="1"/>
    </xf>
    <xf numFmtId="0" fontId="5" fillId="3" borderId="19" applyNumberFormat="0" applyFont="1" applyFill="1" applyBorder="1" applyAlignment="1" applyProtection="0">
      <alignment horizontal="left" vertical="top" wrapText="1"/>
    </xf>
    <xf numFmtId="49" fontId="5" borderId="12" applyNumberFormat="1" applyFont="1" applyFill="0" applyBorder="1" applyAlignment="1" applyProtection="0">
      <alignment horizontal="left" vertical="top" wrapText="1"/>
    </xf>
    <xf numFmtId="59" fontId="5" borderId="26" applyNumberFormat="1" applyFont="1" applyFill="0" applyBorder="1" applyAlignment="1" applyProtection="0">
      <alignment horizontal="center" vertical="top" wrapText="1"/>
    </xf>
    <xf numFmtId="59" fontId="5" borderId="20" applyNumberFormat="1" applyFont="1" applyFill="0" applyBorder="1" applyAlignment="1" applyProtection="0">
      <alignment horizontal="center" vertical="top" wrapText="1"/>
    </xf>
    <xf numFmtId="0" fontId="6" borderId="12" applyNumberFormat="0" applyFont="1" applyFill="0" applyBorder="1" applyAlignment="1" applyProtection="0">
      <alignment vertical="top" wrapText="1"/>
    </xf>
    <xf numFmtId="1" fontId="5" borderId="26" applyNumberFormat="1" applyFont="1" applyFill="0" applyBorder="1" applyAlignment="1" applyProtection="0">
      <alignment horizontal="center" vertical="top" wrapText="1"/>
    </xf>
    <xf numFmtId="0" fontId="5" borderId="14" applyNumberFormat="1" applyFont="1" applyFill="0" applyBorder="1" applyAlignment="1" applyProtection="0">
      <alignment horizontal="center" vertical="top" wrapText="1"/>
    </xf>
    <xf numFmtId="0" fontId="5" borderId="12" applyNumberFormat="0" applyFont="1" applyFill="0" applyBorder="1" applyAlignment="1" applyProtection="0">
      <alignment horizontal="center" vertical="top" wrapText="1"/>
    </xf>
    <xf numFmtId="0" fontId="6" fillId="6" borderId="12" applyNumberFormat="0" applyFont="1" applyFill="1" applyBorder="1" applyAlignment="1" applyProtection="0">
      <alignment vertical="bottom" wrapText="1"/>
    </xf>
    <xf numFmtId="59" fontId="5" fillId="7" borderId="21" applyNumberFormat="1" applyFont="1" applyFill="1" applyBorder="1" applyAlignment="1" applyProtection="0">
      <alignment horizontal="center" vertical="bottom"/>
    </xf>
    <xf numFmtId="1" fontId="5" fillId="7" borderId="21" applyNumberFormat="1" applyFont="1" applyFill="1" applyBorder="1" applyAlignment="1" applyProtection="0">
      <alignment horizontal="center" vertical="bottom"/>
    </xf>
    <xf numFmtId="0" fontId="6" borderId="12" applyNumberFormat="0" applyFont="1" applyFill="0" applyBorder="1" applyAlignment="1" applyProtection="0">
      <alignment horizontal="center" vertical="top" wrapText="1"/>
    </xf>
    <xf numFmtId="0" fontId="3" borderId="27" applyNumberFormat="0" applyFont="1" applyFill="0" applyBorder="1" applyAlignment="1" applyProtection="0">
      <alignment vertical="top" wrapText="1"/>
    </xf>
    <xf numFmtId="0" fontId="0" borderId="28" applyNumberFormat="0" applyFont="1" applyFill="0" applyBorder="1" applyAlignment="1" applyProtection="0">
      <alignment vertical="top" wrapText="1"/>
    </xf>
    <xf numFmtId="0" fontId="3" borderId="29" applyNumberFormat="0" applyFont="1" applyFill="0" applyBorder="1" applyAlignment="1" applyProtection="0">
      <alignment vertical="top" wrapText="1"/>
    </xf>
    <xf numFmtId="0" fontId="3" borderId="30" applyNumberFormat="0" applyFont="1" applyFill="0" applyBorder="1" applyAlignment="1" applyProtection="0">
      <alignment vertical="top" wrapText="1"/>
    </xf>
    <xf numFmtId="49" fontId="8" fillId="8" borderId="31" applyNumberFormat="1" applyFont="1" applyFill="1" applyBorder="1" applyAlignment="1" applyProtection="0">
      <alignment horizontal="center" vertical="bottom"/>
    </xf>
    <xf numFmtId="0" fontId="9" borderId="32" applyNumberFormat="0" applyFont="1" applyFill="0" applyBorder="1" applyAlignment="1" applyProtection="0">
      <alignment vertical="top" wrapText="1"/>
    </xf>
    <xf numFmtId="0" fontId="0" borderId="33" applyNumberFormat="0" applyFont="1" applyFill="0" applyBorder="1" applyAlignment="1" applyProtection="0">
      <alignment vertical="top" wrapText="1"/>
    </xf>
    <xf numFmtId="0" fontId="3" borderId="33" applyNumberFormat="0" applyFont="1" applyFill="0" applyBorder="1" applyAlignment="1" applyProtection="0">
      <alignment vertical="top" wrapText="1"/>
    </xf>
    <xf numFmtId="0" fontId="0" borderId="34" applyNumberFormat="0" applyFont="1" applyFill="0" applyBorder="1" applyAlignment="1" applyProtection="0">
      <alignment vertical="top" wrapText="1"/>
    </xf>
    <xf numFmtId="0" fontId="3" fillId="3" borderId="35" applyNumberFormat="0" applyFont="1" applyFill="1" applyBorder="1" applyAlignment="1" applyProtection="0">
      <alignment vertical="top" wrapText="1"/>
    </xf>
    <xf numFmtId="0" fontId="3" borderId="36" applyNumberFormat="0" applyFont="1" applyFill="0" applyBorder="1" applyAlignment="1" applyProtection="0">
      <alignment vertical="top" wrapText="1"/>
    </xf>
    <xf numFmtId="0" fontId="3" borderId="37" applyNumberFormat="0" applyFont="1" applyFill="0" applyBorder="1" applyAlignment="1" applyProtection="0">
      <alignment vertical="top" wrapText="1"/>
    </xf>
    <xf numFmtId="59" fontId="5" fillId="7" borderId="12" applyNumberFormat="1" applyFont="1" applyFill="1" applyBorder="1" applyAlignment="1" applyProtection="0">
      <alignment horizontal="center" vertical="bottom"/>
    </xf>
    <xf numFmtId="1" fontId="5" fillId="7" borderId="12" applyNumberFormat="1" applyFont="1" applyFill="1" applyBorder="1" applyAlignment="1" applyProtection="0">
      <alignment horizontal="center" vertical="bottom"/>
    </xf>
    <xf numFmtId="0" fontId="3" borderId="38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666666"/>
      <rgbColor rgb="ffb6d7a8"/>
      <rgbColor rgb="ffa64d79"/>
      <rgbColor rgb="fff9cb9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S3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9" width="16.3516" style="1" customWidth="1"/>
    <col min="20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20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18.55" customHeight="1">
      <c r="A3" s="4"/>
      <c r="B3" s="5"/>
      <c r="C3" s="6"/>
      <c r="D3" s="6"/>
      <c r="E3" s="6"/>
      <c r="F3" s="6"/>
      <c r="G3" s="6"/>
      <c r="H3" s="6"/>
      <c r="I3" s="6"/>
      <c r="J3" s="6"/>
      <c r="K3" s="6"/>
      <c r="L3" s="7"/>
      <c r="M3" s="6"/>
      <c r="N3" s="6"/>
      <c r="O3" s="6"/>
      <c r="P3" s="6"/>
      <c r="Q3" s="6"/>
      <c r="R3" s="6"/>
      <c r="S3" s="6"/>
    </row>
    <row r="4" ht="18.7" customHeight="1">
      <c r="A4" s="8"/>
      <c r="B4" t="s" s="9">
        <v>1</v>
      </c>
      <c r="C4" s="10"/>
      <c r="D4" s="11"/>
      <c r="E4" s="11"/>
      <c r="F4" s="11"/>
      <c r="G4" s="11"/>
      <c r="H4" s="11"/>
      <c r="I4" s="11"/>
      <c r="J4" s="11"/>
      <c r="K4" s="12"/>
      <c r="L4" t="s" s="9">
        <v>2</v>
      </c>
      <c r="M4" s="10"/>
      <c r="N4" s="11"/>
      <c r="O4" s="11"/>
      <c r="P4" s="11"/>
      <c r="Q4" s="11"/>
      <c r="R4" s="11"/>
      <c r="S4" s="11"/>
    </row>
    <row r="5" ht="25" customHeight="1">
      <c r="A5" s="13"/>
      <c r="B5" t="s" s="14">
        <v>3</v>
      </c>
      <c r="C5" t="s" s="14">
        <v>4</v>
      </c>
      <c r="D5" t="s" s="14">
        <v>5</v>
      </c>
      <c r="E5" t="s" s="14">
        <v>6</v>
      </c>
      <c r="F5" t="s" s="14">
        <v>7</v>
      </c>
      <c r="G5" t="s" s="14">
        <v>8</v>
      </c>
      <c r="H5" t="s" s="14">
        <v>9</v>
      </c>
      <c r="I5" t="s" s="14">
        <v>10</v>
      </c>
      <c r="J5" t="s" s="14">
        <v>11</v>
      </c>
      <c r="K5" s="15"/>
      <c r="L5" t="s" s="14">
        <v>3</v>
      </c>
      <c r="M5" t="s" s="14">
        <v>4</v>
      </c>
      <c r="N5" t="s" s="14">
        <v>5</v>
      </c>
      <c r="O5" t="s" s="14">
        <v>6</v>
      </c>
      <c r="P5" t="s" s="14">
        <v>7</v>
      </c>
      <c r="Q5" t="s" s="16">
        <v>12</v>
      </c>
      <c r="R5" t="s" s="16">
        <v>13</v>
      </c>
      <c r="S5" t="s" s="14">
        <v>11</v>
      </c>
    </row>
    <row r="6" ht="31" customHeight="1">
      <c r="A6" s="17"/>
      <c r="B6" t="s" s="18">
        <v>14</v>
      </c>
      <c r="C6" t="s" s="19">
        <v>15</v>
      </c>
      <c r="D6" t="s" s="20">
        <v>16</v>
      </c>
      <c r="E6" t="s" s="19">
        <v>17</v>
      </c>
      <c r="F6" t="s" s="19">
        <v>18</v>
      </c>
      <c r="G6" t="s" s="19">
        <v>19</v>
      </c>
      <c r="H6" s="21" cm="1">
        <f t="array" ref="H6">100*875*22</f>
        <v>1925000</v>
      </c>
      <c r="I6" s="22">
        <v>45</v>
      </c>
      <c r="J6" t="s" s="23">
        <v>20</v>
      </c>
      <c r="K6" s="15"/>
      <c r="L6" t="s" s="24">
        <v>21</v>
      </c>
      <c r="M6" t="s" s="19">
        <v>22</v>
      </c>
      <c r="N6" t="s" s="20">
        <v>23</v>
      </c>
      <c r="O6" t="s" s="19">
        <v>17</v>
      </c>
      <c r="P6" t="s" s="25">
        <v>24</v>
      </c>
      <c r="Q6" s="26" cm="1">
        <f t="array" ref="Q6">130*1000+50*875*22</f>
        <v>1092500</v>
      </c>
      <c r="R6" s="27">
        <v>20</v>
      </c>
      <c r="S6" t="s" s="28">
        <v>25</v>
      </c>
    </row>
    <row r="7" ht="20" customHeight="1">
      <c r="A7" s="29"/>
      <c r="B7" t="s" s="18">
        <v>26</v>
      </c>
      <c r="C7" t="s" s="19">
        <v>15</v>
      </c>
      <c r="D7" t="s" s="30">
        <v>27</v>
      </c>
      <c r="E7" t="s" s="31">
        <v>17</v>
      </c>
      <c r="F7" t="s" s="31">
        <v>18</v>
      </c>
      <c r="G7" t="s" s="31">
        <v>19</v>
      </c>
      <c r="H7" s="32" cm="1">
        <f t="array" ref="H7">185*30*680</f>
        <v>3774000</v>
      </c>
      <c r="I7" s="22">
        <v>60</v>
      </c>
      <c r="J7" t="s" s="23">
        <v>20</v>
      </c>
      <c r="K7" s="15"/>
      <c r="L7" t="s" s="24">
        <v>28</v>
      </c>
      <c r="M7" t="s" s="19">
        <v>22</v>
      </c>
      <c r="N7" t="s" s="20">
        <v>16</v>
      </c>
      <c r="O7" t="s" s="19">
        <v>17</v>
      </c>
      <c r="P7" t="s" s="25">
        <v>29</v>
      </c>
      <c r="Q7" s="26" cm="1">
        <f t="array" ref="Q7">24*1000*22</f>
        <v>528000</v>
      </c>
      <c r="R7" s="33">
        <v>12</v>
      </c>
      <c r="S7" t="s" s="28">
        <v>25</v>
      </c>
    </row>
    <row r="8" ht="20" customHeight="1">
      <c r="A8" s="29"/>
      <c r="B8" t="s" s="18">
        <v>30</v>
      </c>
      <c r="C8" t="s" s="25">
        <v>15</v>
      </c>
      <c r="D8" t="s" s="34">
        <v>31</v>
      </c>
      <c r="E8" s="35"/>
      <c r="F8" t="s" s="36">
        <v>18</v>
      </c>
      <c r="G8" t="s" s="36">
        <v>19</v>
      </c>
      <c r="H8" s="26">
        <v>10000000</v>
      </c>
      <c r="I8" s="37">
        <v>180</v>
      </c>
      <c r="J8" t="s" s="23">
        <v>20</v>
      </c>
      <c r="K8" s="15"/>
      <c r="L8" t="s" s="24">
        <v>32</v>
      </c>
      <c r="M8" t="s" s="19">
        <v>22</v>
      </c>
      <c r="N8" t="s" s="30">
        <v>33</v>
      </c>
      <c r="O8" t="s" s="19">
        <v>17</v>
      </c>
      <c r="P8" t="s" s="38">
        <v>34</v>
      </c>
      <c r="Q8" s="26" cm="1">
        <f t="array" ref="Q8">10*900*22</f>
        <v>198000</v>
      </c>
      <c r="R8" s="33" cm="1">
        <f t="array" ref="R8">Q8/70000</f>
        <v>2.82857142857143</v>
      </c>
      <c r="S8" t="s" s="28">
        <v>25</v>
      </c>
    </row>
    <row r="9" ht="20" customHeight="1">
      <c r="A9" s="29"/>
      <c r="B9" t="s" s="18">
        <v>35</v>
      </c>
      <c r="C9" t="s" s="19">
        <v>15</v>
      </c>
      <c r="D9" t="s" s="39">
        <v>36</v>
      </c>
      <c r="E9" t="s" s="40">
        <v>17</v>
      </c>
      <c r="F9" t="s" s="40">
        <v>37</v>
      </c>
      <c r="G9" t="s" s="40">
        <v>38</v>
      </c>
      <c r="H9" s="41">
        <v>351000</v>
      </c>
      <c r="I9" s="42" cm="1">
        <f t="array" ref="I9">H9/70000</f>
        <v>5.01428571428571</v>
      </c>
      <c r="J9" t="s" s="23">
        <v>39</v>
      </c>
      <c r="K9" s="15"/>
      <c r="L9" t="s" s="24">
        <v>40</v>
      </c>
      <c r="M9" t="s" s="25">
        <v>22</v>
      </c>
      <c r="N9" t="s" s="43">
        <v>33</v>
      </c>
      <c r="O9" t="s" s="44">
        <v>17</v>
      </c>
      <c r="P9" t="s" s="36">
        <v>41</v>
      </c>
      <c r="Q9" s="26" cm="1">
        <f t="array" ref="Q9">10*900*22</f>
        <v>198000</v>
      </c>
      <c r="R9" s="33" cm="1">
        <f t="array" ref="R9">Q9/70000</f>
        <v>2.82857142857143</v>
      </c>
      <c r="S9" t="s" s="28">
        <v>25</v>
      </c>
    </row>
    <row r="10" ht="20" customHeight="1">
      <c r="A10" s="29"/>
      <c r="B10" t="s" s="18">
        <v>42</v>
      </c>
      <c r="C10" t="s" s="19">
        <v>15</v>
      </c>
      <c r="D10" t="s" s="20">
        <v>36</v>
      </c>
      <c r="E10" t="s" s="19">
        <v>17</v>
      </c>
      <c r="F10" t="s" s="19">
        <v>37</v>
      </c>
      <c r="G10" t="s" s="19">
        <v>38</v>
      </c>
      <c r="H10" s="21" cm="1">
        <f t="array" ref="H10">10*900*22</f>
        <v>198000</v>
      </c>
      <c r="I10" s="42" cm="1">
        <f t="array" ref="I10">H10/70000</f>
        <v>2.82857142857143</v>
      </c>
      <c r="J10" t="s" s="23">
        <v>39</v>
      </c>
      <c r="K10" s="15"/>
      <c r="L10" t="s" s="45">
        <v>43</v>
      </c>
      <c r="M10" t="s" s="19">
        <v>22</v>
      </c>
      <c r="N10" t="s" s="39">
        <v>44</v>
      </c>
      <c r="O10" t="s" s="46">
        <v>17</v>
      </c>
      <c r="P10" t="s" s="47">
        <v>34</v>
      </c>
      <c r="Q10" s="26" cm="1">
        <f t="array" ref="Q10">5*1500*30</f>
        <v>225000</v>
      </c>
      <c r="R10" s="33" cm="1">
        <f t="array" ref="R10">Q10/70000</f>
        <v>3.21428571428571</v>
      </c>
      <c r="S10" t="s" s="28">
        <v>25</v>
      </c>
    </row>
    <row r="11" ht="31" customHeight="1">
      <c r="A11" s="48"/>
      <c r="B11" t="s" s="49">
        <v>45</v>
      </c>
      <c r="C11" t="s" s="19">
        <v>15</v>
      </c>
      <c r="D11" t="s" s="20">
        <v>36</v>
      </c>
      <c r="E11" t="s" s="19">
        <v>17</v>
      </c>
      <c r="F11" t="s" s="19">
        <v>46</v>
      </c>
      <c r="G11" t="s" s="19">
        <v>47</v>
      </c>
      <c r="H11" s="21" cm="1">
        <f t="array" ref="H11">6*900*22</f>
        <v>118800</v>
      </c>
      <c r="I11" s="42" cm="1">
        <f t="array" ref="I11">H11/70000</f>
        <v>1.69714285714286</v>
      </c>
      <c r="J11" t="s" s="23">
        <v>39</v>
      </c>
      <c r="K11" s="15"/>
      <c r="L11" t="s" s="24">
        <v>48</v>
      </c>
      <c r="M11" t="s" s="19">
        <v>22</v>
      </c>
      <c r="N11" t="s" s="20">
        <v>16</v>
      </c>
      <c r="O11" t="s" s="19">
        <v>17</v>
      </c>
      <c r="P11" t="s" s="25">
        <v>41</v>
      </c>
      <c r="Q11" s="26">
        <v>1900000</v>
      </c>
      <c r="R11" s="33">
        <v>45</v>
      </c>
      <c r="S11" t="s" s="28">
        <v>25</v>
      </c>
    </row>
    <row r="12" ht="20" customHeight="1">
      <c r="A12" s="29"/>
      <c r="B12" t="s" s="18">
        <v>49</v>
      </c>
      <c r="C12" t="s" s="19">
        <v>15</v>
      </c>
      <c r="D12" t="s" s="20">
        <v>31</v>
      </c>
      <c r="E12" t="s" s="19">
        <v>17</v>
      </c>
      <c r="F12" t="s" s="19">
        <v>37</v>
      </c>
      <c r="G12" t="s" s="19">
        <v>50</v>
      </c>
      <c r="H12" s="21" cm="1">
        <f t="array" ref="H12">10*900*22</f>
        <v>198000</v>
      </c>
      <c r="I12" s="42" cm="1">
        <f t="array" ref="I12">H12/70000</f>
        <v>2.82857142857143</v>
      </c>
      <c r="J12" t="s" s="23">
        <v>39</v>
      </c>
      <c r="K12" s="15"/>
      <c r="L12" t="s" s="45">
        <v>51</v>
      </c>
      <c r="M12" t="s" s="19">
        <v>22</v>
      </c>
      <c r="N12" t="s" s="20">
        <v>36</v>
      </c>
      <c r="O12" t="s" s="19">
        <v>17</v>
      </c>
      <c r="P12" t="s" s="25">
        <v>41</v>
      </c>
      <c r="Q12" s="26" cm="1">
        <f t="array" ref="Q12">50*900*30</f>
        <v>1350000</v>
      </c>
      <c r="R12" s="33" cm="1">
        <f t="array" ref="R12">Q12/70000</f>
        <v>19.2857142857143</v>
      </c>
      <c r="S12" t="s" s="28">
        <v>25</v>
      </c>
    </row>
    <row r="13" ht="31" customHeight="1">
      <c r="A13" s="29"/>
      <c r="B13" t="s" s="18">
        <v>52</v>
      </c>
      <c r="C13" t="s" s="19">
        <v>15</v>
      </c>
      <c r="D13" t="s" s="20">
        <v>53</v>
      </c>
      <c r="E13" t="s" s="19">
        <v>17</v>
      </c>
      <c r="F13" t="s" s="19">
        <v>46</v>
      </c>
      <c r="G13" t="s" s="19">
        <v>54</v>
      </c>
      <c r="H13" s="21" cm="1">
        <f t="array" ref="H13">30*900*22</f>
        <v>594000</v>
      </c>
      <c r="I13" s="42" cm="1">
        <f t="array" ref="I13">H13/70000</f>
        <v>8.485714285714289</v>
      </c>
      <c r="J13" t="s" s="23">
        <v>55</v>
      </c>
      <c r="K13" s="15"/>
      <c r="L13" t="s" s="45">
        <v>56</v>
      </c>
      <c r="M13" t="s" s="19">
        <v>22</v>
      </c>
      <c r="N13" t="s" s="20">
        <v>33</v>
      </c>
      <c r="O13" t="s" s="19">
        <v>17</v>
      </c>
      <c r="P13" t="s" s="25">
        <v>34</v>
      </c>
      <c r="Q13" s="50" cm="1">
        <f t="array" ref="Q13">15*900*22</f>
        <v>297000</v>
      </c>
      <c r="R13" s="33" cm="1">
        <f t="array" ref="R13">Q13/70000</f>
        <v>4.24285714285714</v>
      </c>
      <c r="S13" t="s" s="28">
        <v>25</v>
      </c>
    </row>
    <row r="14" ht="20" customHeight="1">
      <c r="A14" s="29"/>
      <c r="B14" t="s" s="18">
        <v>57</v>
      </c>
      <c r="C14" t="s" s="19">
        <v>15</v>
      </c>
      <c r="D14" t="s" s="20">
        <v>58</v>
      </c>
      <c r="E14" t="s" s="19">
        <v>17</v>
      </c>
      <c r="F14" t="s" s="19">
        <v>29</v>
      </c>
      <c r="G14" t="s" s="19">
        <v>54</v>
      </c>
      <c r="H14" s="21" cm="1">
        <f t="array" ref="H14">10*900*22</f>
        <v>198000</v>
      </c>
      <c r="I14" s="42" cm="1">
        <f t="array" ref="I14">H14/70000</f>
        <v>2.82857142857143</v>
      </c>
      <c r="J14" t="s" s="23">
        <v>59</v>
      </c>
      <c r="K14" s="15"/>
      <c r="L14" t="s" s="24">
        <v>60</v>
      </c>
      <c r="M14" t="s" s="19">
        <v>22</v>
      </c>
      <c r="N14" t="s" s="20">
        <v>33</v>
      </c>
      <c r="O14" t="s" s="19">
        <v>17</v>
      </c>
      <c r="P14" t="s" s="19">
        <v>41</v>
      </c>
      <c r="Q14" s="51" cm="1">
        <f t="array" ref="Q14">20*1000*24</f>
        <v>480000</v>
      </c>
      <c r="R14" s="33" cm="1">
        <f t="array" ref="R14">Q14/70000</f>
        <v>6.85714285714286</v>
      </c>
      <c r="S14" t="s" s="28">
        <v>25</v>
      </c>
    </row>
    <row r="15" ht="20" customHeight="1">
      <c r="A15" s="29"/>
      <c r="B15" t="s" s="18">
        <v>61</v>
      </c>
      <c r="C15" t="s" s="19">
        <v>15</v>
      </c>
      <c r="D15" t="s" s="20">
        <v>44</v>
      </c>
      <c r="E15" t="s" s="19">
        <v>17</v>
      </c>
      <c r="F15" t="s" s="19">
        <v>37</v>
      </c>
      <c r="G15" t="s" s="19">
        <v>19</v>
      </c>
      <c r="H15" s="21" cm="1">
        <f t="array" ref="H15">6*1200*22</f>
        <v>158400</v>
      </c>
      <c r="I15" s="42" cm="1">
        <f t="array" ref="I15">H15/70000</f>
        <v>2.26285714285714</v>
      </c>
      <c r="J15" t="s" s="23">
        <v>39</v>
      </c>
      <c r="K15" s="15"/>
      <c r="L15" t="s" s="24">
        <v>62</v>
      </c>
      <c r="M15" t="s" s="19">
        <v>15</v>
      </c>
      <c r="N15" t="s" s="20">
        <v>63</v>
      </c>
      <c r="O15" t="s" s="19">
        <v>17</v>
      </c>
      <c r="P15" t="s" s="25">
        <v>41</v>
      </c>
      <c r="Q15" s="26">
        <v>1400000</v>
      </c>
      <c r="R15" s="33">
        <v>20</v>
      </c>
      <c r="S15" t="s" s="28">
        <v>25</v>
      </c>
    </row>
    <row r="16" ht="20" customHeight="1">
      <c r="A16" s="29"/>
      <c r="B16" t="s" s="18">
        <v>64</v>
      </c>
      <c r="C16" t="s" s="19">
        <v>15</v>
      </c>
      <c r="D16" t="s" s="20">
        <v>44</v>
      </c>
      <c r="E16" t="s" s="19">
        <v>17</v>
      </c>
      <c r="F16" t="s" s="19">
        <v>37</v>
      </c>
      <c r="G16" t="s" s="19">
        <v>50</v>
      </c>
      <c r="H16" s="21" cm="1">
        <f t="array" ref="H16">10*900*22</f>
        <v>198000</v>
      </c>
      <c r="I16" s="42" cm="1">
        <f t="array" ref="I16">H16/70000</f>
        <v>2.82857142857143</v>
      </c>
      <c r="J16" t="s" s="23">
        <v>39</v>
      </c>
      <c r="K16" s="15"/>
      <c r="L16" t="s" s="24">
        <v>65</v>
      </c>
      <c r="M16" s="52"/>
      <c r="N16" t="s" s="20">
        <v>36</v>
      </c>
      <c r="O16" t="s" s="19">
        <v>17</v>
      </c>
      <c r="P16" t="s" s="25">
        <v>41</v>
      </c>
      <c r="Q16" s="26" cm="1">
        <f t="array" ref="Q16">8*900*22</f>
        <v>158400</v>
      </c>
      <c r="R16" s="33" cm="1">
        <f t="array" ref="R16">Q16/70000</f>
        <v>2.26285714285714</v>
      </c>
      <c r="S16" t="s" s="28">
        <v>25</v>
      </c>
    </row>
    <row r="17" ht="31" customHeight="1">
      <c r="A17" s="29"/>
      <c r="B17" t="s" s="18">
        <v>66</v>
      </c>
      <c r="C17" t="s" s="19">
        <v>15</v>
      </c>
      <c r="D17" t="s" s="20">
        <v>63</v>
      </c>
      <c r="E17" t="s" s="19">
        <v>17</v>
      </c>
      <c r="F17" t="s" s="19">
        <v>29</v>
      </c>
      <c r="G17" t="s" s="19">
        <v>67</v>
      </c>
      <c r="H17" s="21">
        <v>270000</v>
      </c>
      <c r="I17" s="42" cm="1">
        <f t="array" ref="I17">H17/70000</f>
        <v>3.85714285714286</v>
      </c>
      <c r="J17" t="s" s="23">
        <v>59</v>
      </c>
      <c r="K17" s="15"/>
      <c r="L17" t="s" s="24">
        <v>68</v>
      </c>
      <c r="M17" s="52"/>
      <c r="N17" t="s" s="20">
        <v>16</v>
      </c>
      <c r="O17" t="s" s="19">
        <v>17</v>
      </c>
      <c r="P17" t="s" s="25">
        <v>24</v>
      </c>
      <c r="Q17" s="50" cm="1">
        <f t="array" ref="Q17">350000*2</f>
        <v>700000</v>
      </c>
      <c r="R17" s="53">
        <v>10</v>
      </c>
      <c r="S17" t="s" s="28">
        <v>25</v>
      </c>
    </row>
    <row r="18" ht="31" customHeight="1">
      <c r="A18" s="29"/>
      <c r="B18" t="s" s="18">
        <v>69</v>
      </c>
      <c r="C18" t="s" s="19">
        <v>15</v>
      </c>
      <c r="D18" t="s" s="20">
        <v>33</v>
      </c>
      <c r="E18" t="s" s="19">
        <v>17</v>
      </c>
      <c r="F18" t="s" s="19">
        <v>46</v>
      </c>
      <c r="G18" t="s" s="19">
        <v>47</v>
      </c>
      <c r="H18" s="21" cm="1">
        <f t="array" ref="H18">10*900*26</f>
        <v>234000</v>
      </c>
      <c r="I18" s="42" cm="1">
        <f t="array" ref="I18">H18/70000</f>
        <v>3.34285714285714</v>
      </c>
      <c r="J18" t="s" s="23">
        <v>70</v>
      </c>
      <c r="K18" s="15"/>
      <c r="L18" t="s" s="24">
        <v>71</v>
      </c>
      <c r="M18" t="s" s="19">
        <v>22</v>
      </c>
      <c r="N18" t="s" s="20">
        <v>27</v>
      </c>
      <c r="O18" t="s" s="19">
        <v>17</v>
      </c>
      <c r="P18" t="s" s="19">
        <v>41</v>
      </c>
      <c r="Q18" s="32">
        <v>160000</v>
      </c>
      <c r="R18" s="54">
        <v>1</v>
      </c>
      <c r="S18" t="s" s="23">
        <v>25</v>
      </c>
    </row>
    <row r="19" ht="31" customHeight="1">
      <c r="A19" s="29"/>
      <c r="B19" t="s" s="18">
        <v>72</v>
      </c>
      <c r="C19" t="s" s="19">
        <v>15</v>
      </c>
      <c r="D19" t="s" s="20">
        <v>73</v>
      </c>
      <c r="E19" t="s" s="19">
        <v>17</v>
      </c>
      <c r="F19" t="s" s="19">
        <v>29</v>
      </c>
      <c r="G19" t="s" s="19">
        <v>50</v>
      </c>
      <c r="H19" s="21">
        <v>350000</v>
      </c>
      <c r="I19" s="42" cm="1">
        <f t="array" ref="I19">H19/70000</f>
        <v>5</v>
      </c>
      <c r="J19" t="s" s="23">
        <v>70</v>
      </c>
      <c r="K19" s="15"/>
      <c r="L19" t="s" s="24">
        <v>74</v>
      </c>
      <c r="M19" s="52"/>
      <c r="N19" t="s" s="20">
        <v>36</v>
      </c>
      <c r="O19" t="s" s="19">
        <v>17</v>
      </c>
      <c r="P19" t="s" s="25">
        <v>24</v>
      </c>
      <c r="Q19" s="26" cm="1">
        <f t="array" ref="Q19">10*1500*22</f>
        <v>330000</v>
      </c>
      <c r="R19" s="33" cm="1">
        <f t="array" ref="R19">Q19/70000</f>
        <v>4.71428571428571</v>
      </c>
      <c r="S19" t="s" s="28">
        <v>25</v>
      </c>
    </row>
    <row r="20" ht="20" customHeight="1">
      <c r="A20" s="29"/>
      <c r="B20" t="s" s="18">
        <v>75</v>
      </c>
      <c r="C20" t="s" s="19">
        <v>15</v>
      </c>
      <c r="D20" t="s" s="20">
        <v>76</v>
      </c>
      <c r="E20" t="s" s="19">
        <v>17</v>
      </c>
      <c r="F20" t="s" s="19">
        <v>34</v>
      </c>
      <c r="G20" t="s" s="19">
        <v>77</v>
      </c>
      <c r="H20" s="21" cm="1">
        <f t="array" ref="H20">20*1000*24</f>
        <v>480000</v>
      </c>
      <c r="I20" s="42" cm="1">
        <f t="array" ref="I20">H20/70000</f>
        <v>6.85714285714286</v>
      </c>
      <c r="J20" t="s" s="23">
        <v>59</v>
      </c>
      <c r="K20" s="15"/>
      <c r="L20" t="s" s="24">
        <v>78</v>
      </c>
      <c r="M20" s="52"/>
      <c r="N20" t="s" s="20">
        <v>33</v>
      </c>
      <c r="O20" t="s" s="19">
        <v>17</v>
      </c>
      <c r="P20" t="s" s="25">
        <v>41</v>
      </c>
      <c r="Q20" s="26" cm="1">
        <f t="array" ref="Q20">10*1200*22</f>
        <v>264000</v>
      </c>
      <c r="R20" s="33" cm="1">
        <f t="array" ref="R20">Q20/70000</f>
        <v>3.77142857142857</v>
      </c>
      <c r="S20" t="s" s="28">
        <v>25</v>
      </c>
    </row>
    <row r="21" ht="31" customHeight="1">
      <c r="A21" s="29"/>
      <c r="B21" t="s" s="18">
        <v>79</v>
      </c>
      <c r="C21" t="s" s="19">
        <v>15</v>
      </c>
      <c r="D21" t="s" s="20">
        <v>16</v>
      </c>
      <c r="E21" t="s" s="19">
        <v>17</v>
      </c>
      <c r="F21" t="s" s="19">
        <v>29</v>
      </c>
      <c r="G21" t="s" s="19">
        <v>80</v>
      </c>
      <c r="H21" s="21" cm="1">
        <f t="array" ref="H21">30*900*22</f>
        <v>594000</v>
      </c>
      <c r="I21" s="42" cm="1">
        <f t="array" ref="I21">H21/70000</f>
        <v>8.485714285714289</v>
      </c>
      <c r="J21" t="s" s="23">
        <v>59</v>
      </c>
      <c r="K21" s="15"/>
      <c r="L21" t="s" s="45">
        <v>81</v>
      </c>
      <c r="M21" s="52"/>
      <c r="N21" t="s" s="20">
        <v>82</v>
      </c>
      <c r="O21" t="s" s="19">
        <v>17</v>
      </c>
      <c r="P21" t="s" s="25">
        <v>41</v>
      </c>
      <c r="Q21" s="26" cm="1">
        <f t="array" ref="Q21">20*900*22</f>
        <v>396000</v>
      </c>
      <c r="R21" s="33" cm="1">
        <f t="array" ref="R21">Q21/70000</f>
        <v>5.65714285714286</v>
      </c>
      <c r="S21" t="s" s="28">
        <v>25</v>
      </c>
    </row>
    <row r="22" ht="20" customHeight="1">
      <c r="A22" s="48"/>
      <c r="B22" t="s" s="49">
        <v>83</v>
      </c>
      <c r="C22" t="s" s="19">
        <v>15</v>
      </c>
      <c r="D22" t="s" s="20">
        <v>33</v>
      </c>
      <c r="E22" t="s" s="19">
        <v>17</v>
      </c>
      <c r="F22" t="s" s="19">
        <v>29</v>
      </c>
      <c r="G22" t="s" s="19">
        <v>19</v>
      </c>
      <c r="H22" s="21" cm="1">
        <f t="array" ref="H22">6*1200*24</f>
        <v>172800</v>
      </c>
      <c r="I22" s="42" cm="1">
        <f t="array" ref="I22">H22/70000</f>
        <v>2.46857142857143</v>
      </c>
      <c r="J22" t="s" s="23">
        <v>70</v>
      </c>
      <c r="K22" s="15"/>
      <c r="L22" s="55"/>
      <c r="M22" s="52"/>
      <c r="N22" s="56"/>
      <c r="O22" s="52"/>
      <c r="P22" s="52"/>
      <c r="Q22" s="57" cm="1">
        <f t="array" ref="Q22">SUM(Q5:Q21)</f>
        <v>9676900</v>
      </c>
      <c r="R22" s="58" cm="1">
        <f t="array" ref="R22">SUM(R5:R21)</f>
        <v>163.662857142857</v>
      </c>
      <c r="S22" s="59"/>
    </row>
    <row r="23" ht="20.7" customHeight="1">
      <c r="A23" s="29"/>
      <c r="B23" t="s" s="18">
        <v>84</v>
      </c>
      <c r="C23" t="s" s="19">
        <v>15</v>
      </c>
      <c r="D23" t="s" s="20">
        <v>44</v>
      </c>
      <c r="E23" t="s" s="19">
        <v>17</v>
      </c>
      <c r="F23" t="s" s="19">
        <v>41</v>
      </c>
      <c r="G23" t="s" s="19">
        <v>19</v>
      </c>
      <c r="H23" s="21" cm="1">
        <f t="array" ref="H23">10*900*22</f>
        <v>198000</v>
      </c>
      <c r="I23" s="42" cm="1">
        <f t="array" ref="I23">H23/70000</f>
        <v>2.82857142857143</v>
      </c>
      <c r="J23" t="s" s="23">
        <v>55</v>
      </c>
      <c r="K23" s="60"/>
      <c r="L23" s="61"/>
      <c r="M23" s="62"/>
      <c r="N23" s="62"/>
      <c r="O23" s="62"/>
      <c r="P23" s="62"/>
      <c r="Q23" s="62"/>
      <c r="R23" s="62"/>
      <c r="S23" s="62"/>
    </row>
    <row r="24" ht="22.6" customHeight="1">
      <c r="A24" s="29"/>
      <c r="B24" t="s" s="18">
        <v>85</v>
      </c>
      <c r="C24" t="s" s="19">
        <v>15</v>
      </c>
      <c r="D24" t="s" s="20">
        <v>44</v>
      </c>
      <c r="E24" t="s" s="19">
        <v>17</v>
      </c>
      <c r="F24" t="s" s="19">
        <v>29</v>
      </c>
      <c r="G24" t="s" s="19">
        <v>77</v>
      </c>
      <c r="H24" s="21" cm="1">
        <f t="array" ref="H24">10*900*22</f>
        <v>198000</v>
      </c>
      <c r="I24" s="42" cm="1">
        <f t="array" ref="I24">H24/70000</f>
        <v>2.82857142857143</v>
      </c>
      <c r="J24" t="s" s="23">
        <v>59</v>
      </c>
      <c r="K24" s="63"/>
      <c r="L24" t="s" s="64">
        <v>86</v>
      </c>
      <c r="M24" s="65"/>
      <c r="N24" s="66"/>
      <c r="O24" s="67"/>
      <c r="P24" s="67"/>
      <c r="Q24" s="67"/>
      <c r="R24" s="67"/>
      <c r="S24" s="67"/>
    </row>
    <row r="25" ht="31" customHeight="1">
      <c r="A25" s="29"/>
      <c r="B25" t="s" s="18">
        <v>87</v>
      </c>
      <c r="C25" t="s" s="19">
        <v>15</v>
      </c>
      <c r="D25" t="s" s="20">
        <v>36</v>
      </c>
      <c r="E25" t="s" s="19">
        <v>17</v>
      </c>
      <c r="F25" t="s" s="19">
        <v>29</v>
      </c>
      <c r="G25" t="s" s="19">
        <v>19</v>
      </c>
      <c r="H25" s="21" cm="1">
        <f t="array" ref="H25">10*900*22</f>
        <v>198000</v>
      </c>
      <c r="I25" s="42" cm="1">
        <f t="array" ref="I25">H25/70000</f>
        <v>2.82857142857143</v>
      </c>
      <c r="J25" t="s" s="23">
        <v>59</v>
      </c>
      <c r="K25" s="60"/>
      <c r="L25" s="68"/>
      <c r="M25" s="66"/>
      <c r="N25" s="66"/>
      <c r="O25" s="67"/>
      <c r="P25" s="67"/>
      <c r="Q25" s="67"/>
      <c r="R25" s="67"/>
      <c r="S25" s="67"/>
    </row>
    <row r="26" ht="31" customHeight="1">
      <c r="A26" s="29"/>
      <c r="B26" t="s" s="18">
        <v>88</v>
      </c>
      <c r="C26" t="s" s="19">
        <v>15</v>
      </c>
      <c r="D26" t="s" s="20">
        <v>73</v>
      </c>
      <c r="E26" t="s" s="19">
        <v>17</v>
      </c>
      <c r="F26" t="s" s="19">
        <v>46</v>
      </c>
      <c r="G26" t="s" s="19">
        <v>19</v>
      </c>
      <c r="H26" s="21" cm="1">
        <f t="array" ref="H26">22*900*22</f>
        <v>435600</v>
      </c>
      <c r="I26" s="42" cm="1">
        <f t="array" ref="I26">H26/70000</f>
        <v>6.22285714285714</v>
      </c>
      <c r="J26" t="s" s="23">
        <v>55</v>
      </c>
      <c r="K26" s="60"/>
      <c r="L26" s="67"/>
      <c r="M26" s="67"/>
      <c r="N26" s="67"/>
      <c r="O26" s="67"/>
      <c r="P26" s="67"/>
      <c r="Q26" s="67"/>
      <c r="R26" s="67"/>
      <c r="S26" s="67"/>
    </row>
    <row r="27" ht="20" customHeight="1">
      <c r="A27" s="29"/>
      <c r="B27" t="s" s="18">
        <v>40</v>
      </c>
      <c r="C27" t="s" s="19">
        <v>15</v>
      </c>
      <c r="D27" t="s" s="20">
        <v>33</v>
      </c>
      <c r="E27" s="52"/>
      <c r="F27" t="s" s="19">
        <v>29</v>
      </c>
      <c r="G27" s="52"/>
      <c r="H27" s="21" cm="1">
        <f t="array" ref="H27">10*900*22</f>
        <v>198000</v>
      </c>
      <c r="I27" s="42" cm="1">
        <f t="array" ref="I27">H27/70000</f>
        <v>2.82857142857143</v>
      </c>
      <c r="J27" t="s" s="23">
        <v>55</v>
      </c>
      <c r="K27" s="60"/>
      <c r="L27" s="67"/>
      <c r="M27" s="67"/>
      <c r="N27" s="67"/>
      <c r="O27" s="67"/>
      <c r="P27" s="67"/>
      <c r="Q27" s="67"/>
      <c r="R27" s="67"/>
      <c r="S27" s="67"/>
    </row>
    <row r="28" ht="31" customHeight="1">
      <c r="A28" s="29"/>
      <c r="B28" t="s" s="18">
        <v>89</v>
      </c>
      <c r="C28" s="52"/>
      <c r="D28" t="s" s="20">
        <v>33</v>
      </c>
      <c r="E28" s="52"/>
      <c r="F28" t="s" s="19">
        <v>46</v>
      </c>
      <c r="G28" s="52"/>
      <c r="H28" s="21">
        <v>234000</v>
      </c>
      <c r="I28" s="42">
        <v>3.34285714285714</v>
      </c>
      <c r="J28" t="s" s="23">
        <v>70</v>
      </c>
      <c r="K28" s="60"/>
      <c r="L28" s="67"/>
      <c r="M28" s="67"/>
      <c r="N28" s="67"/>
      <c r="O28" s="67"/>
      <c r="P28" s="67"/>
      <c r="Q28" s="67"/>
      <c r="R28" s="67"/>
      <c r="S28" s="67"/>
    </row>
    <row r="29" ht="20" customHeight="1">
      <c r="A29" s="29"/>
      <c r="B29" t="s" s="18">
        <v>90</v>
      </c>
      <c r="C29" t="s" s="19">
        <v>15</v>
      </c>
      <c r="D29" t="s" s="20">
        <v>16</v>
      </c>
      <c r="E29" t="s" s="19">
        <v>17</v>
      </c>
      <c r="F29" t="s" s="19">
        <v>34</v>
      </c>
      <c r="G29" t="s" s="19">
        <v>19</v>
      </c>
      <c r="H29" s="21">
        <v>1000000</v>
      </c>
      <c r="I29" s="42" cm="1">
        <f t="array" ref="I29">H29/70000</f>
        <v>14.2857142857143</v>
      </c>
      <c r="J29" t="s" s="23">
        <v>59</v>
      </c>
      <c r="K29" s="60"/>
      <c r="L29" s="67"/>
      <c r="M29" s="67"/>
      <c r="N29" s="67"/>
      <c r="O29" s="67"/>
      <c r="P29" s="67"/>
      <c r="Q29" s="67"/>
      <c r="R29" s="67"/>
      <c r="S29" s="67"/>
    </row>
    <row r="30" ht="18.7" customHeight="1">
      <c r="A30" s="69"/>
      <c r="B30" s="70"/>
      <c r="C30" s="62"/>
      <c r="D30" s="62"/>
      <c r="E30" s="62"/>
      <c r="F30" s="62"/>
      <c r="G30" s="71"/>
      <c r="H30" s="72" cm="1">
        <f t="array" ref="H30">SUM(H6:H29)</f>
        <v>22275600</v>
      </c>
      <c r="I30" s="73" cm="1">
        <f t="array" ref="I30">SUM(I6:I29)</f>
        <v>378.951428571429</v>
      </c>
      <c r="J30" s="74"/>
      <c r="K30" s="67"/>
      <c r="L30" s="67"/>
      <c r="M30" s="67"/>
      <c r="N30" s="67"/>
      <c r="O30" s="67"/>
      <c r="P30" s="67"/>
      <c r="Q30" s="67"/>
      <c r="R30" s="67"/>
      <c r="S30" s="67"/>
    </row>
  </sheetData>
  <mergeCells count="3">
    <mergeCell ref="A1:S1"/>
    <mergeCell ref="B4:J4"/>
    <mergeCell ref="L4:S4"/>
  </mergeCells>
  <dataValidations count="16">
    <dataValidation type="list" allowBlank="1" showInputMessage="1" showErrorMessage="1" sqref="C6:C29 M6:M22">
      <formula1>"P0,P1"</formula1>
    </dataValidation>
    <dataValidation type="list" allowBlank="1" showInputMessage="1" showErrorMessage="1" sqref="D6 N7 N10:N11 D14:D17 N15 N17 D20:D21 D23:D24 D29">
      <formula1>"ETS per TRIP,Hourly Rental,ETS - Fixed,Airport,P2P"</formula1>
    </dataValidation>
    <dataValidation type="list" allowBlank="1" showInputMessage="1" showErrorMessage="1" sqref="E6:E7 O6:O21 E9:E29">
      <formula1>"Yes,No"</formula1>
    </dataValidation>
    <dataValidation type="list" allowBlank="1" showInputMessage="1" showErrorMessage="1" sqref="F6:F24 P6:P21 F26:F29">
      <formula1>"Discovery,Need Assessment,Proposal,Verbal Ok | Negotiation,Cross-sell/Upsell Existing,Contract Signing ,Evera Wins"</formula1>
    </dataValidation>
    <dataValidation type="list" allowBlank="1" showInputMessage="1" showErrorMessage="1" sqref="G6:G29">
      <formula1>"Tech,Manufacturing,BFSI,Hospitality,PSU,Automobile,Real Estate,Healthcare,Telecom,Govt,Logistics,Consulting,Education"</formula1>
    </dataValidation>
    <dataValidation type="list" allowBlank="1" showInputMessage="1" showErrorMessage="1" sqref="J6:J29">
      <formula1>"N30,N60,N45,Live,N15"</formula1>
    </dataValidation>
    <dataValidation type="list" allowBlank="1" showInputMessage="1" showErrorMessage="1" sqref="N6">
      <formula1>"ETS per TRIP,Hourly Rental,ETS - Fixed,Airport,P2P"</formula1>
    </dataValidation>
    <dataValidation type="list" allowBlank="1" showInputMessage="1" showErrorMessage="1" sqref="S6:S21">
      <formula1>"Q2 - Q3"</formula1>
    </dataValidation>
    <dataValidation type="list" allowBlank="1" showInputMessage="1" showErrorMessage="1" sqref="D7 N18">
      <formula1>"ETS per TRIP,Hourly Rental,ETS - Fixed,Airport,P2P"</formula1>
    </dataValidation>
    <dataValidation type="list" allowBlank="1" showInputMessage="1" showErrorMessage="1" sqref="D8 D12">
      <formula1>"ETS per TRIP,Hourly Rental,ETS - Fixed,Airport,P2P"</formula1>
    </dataValidation>
    <dataValidation type="list" allowBlank="1" showInputMessage="1" showErrorMessage="1" sqref="N8:N9 N13:N14 D18 N20 D22 D27:D28">
      <formula1>"ETS per TRIP,Hourly Rental,ETS - Fixed,Airport,P2P"</formula1>
    </dataValidation>
    <dataValidation type="list" allowBlank="1" showInputMessage="1" showErrorMessage="1" sqref="D9:D11 N12 N16 N19 D25">
      <formula1>"ETS per TRIP,Hourly Rental,ETS - Fixed,Airport,P2P"</formula1>
    </dataValidation>
    <dataValidation type="list" allowBlank="1" showInputMessage="1" showErrorMessage="1" sqref="D13">
      <formula1>"ETS per TRIP,Hourly Rental,ETS - Fixed,Airport,P2P"</formula1>
    </dataValidation>
    <dataValidation type="list" allowBlank="1" showInputMessage="1" showErrorMessage="1" sqref="D19 D26">
      <formula1>"ETS per TRIP,Hourly Rental,ETS - Fixed,Airport,P2P"</formula1>
    </dataValidation>
    <dataValidation type="list" allowBlank="1" showInputMessage="1" showErrorMessage="1" sqref="N21">
      <formula1>"ETS per TRIP,Hourly Rental,ETS - Fixed,Airport,P2P"</formula1>
    </dataValidation>
    <dataValidation type="list" allowBlank="1" showInputMessage="1" showErrorMessage="1" sqref="F25">
      <formula1>"Discovery,Need Assessment,Proposal,Vebal Ok/Contract Negotiation,Evera Closed Won"</formula1>
    </dataValidation>
  </dataValidation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